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</font>
    <font>
      <b val="1"/>
      <sz val="13"/>
    </font>
    <font>
      <color rgb="000000FF"/>
    </font>
    <font>
      <b val="1"/>
      <color rgb="00FFFFFF"/>
    </font>
    <font/>
    <font>
      <color rgb="00BFBFBF"/>
      <sz val="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1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0" fillId="0" borderId="0" pivotButton="0" quotePrefix="0" xfId="0"/>
    <xf numFmtId="3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Aurelia</author>
  </authors>
  <commentList>
    <comment ref="A40" authorId="0" shapeId="0">
      <text>
        <t>Used by the grader to recognise the workbook. Please leave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03 Three-Statement Mini Model</t>
        </is>
      </c>
    </row>
    <row r="2">
      <c r="A2" s="2" t="inlineStr">
        <is>
          <t>Fictional training data generated by Aurelia Finance Lab for The Aurelia Grand. Not real hotel data and not an industry benchmark.</t>
        </is>
      </c>
    </row>
    <row r="3">
      <c r="A3" s="3" t="n"/>
    </row>
    <row r="4">
      <c r="A4" s="4" t="inlineStr">
        <is>
          <t>Learning objective</t>
        </is>
      </c>
    </row>
    <row r="5">
      <c r="A5" s="3" t="inlineStr">
        <is>
          <t>Link a six-month P&amp;L, working capital, cash flow and balance sheet so the balance sheet balances every month.</t>
        </is>
      </c>
    </row>
    <row r="6">
      <c r="A6" s="3" t="n"/>
    </row>
    <row r="7">
      <c r="A7" s="4" t="inlineStr">
        <is>
          <t>How to work</t>
        </is>
      </c>
    </row>
    <row r="8">
      <c r="A8" s="3" t="inlineStr">
        <is>
          <t>1. Assumptions tab: inputs only (blue).</t>
        </is>
      </c>
    </row>
    <row r="9">
      <c r="A9" s="3" t="inlineStr">
        <is>
          <t>2. Model tab: fill every yellow cell.</t>
        </is>
      </c>
    </row>
    <row r="10">
      <c r="A10" s="3" t="inlineStr">
        <is>
          <t>3. Opening balances are on the Assumptions tab; later months use the previous month's closing balance.</t>
        </is>
      </c>
    </row>
    <row r="11">
      <c r="A11" s="3" t="inlineStr">
        <is>
          <t>4. The balance check (row 27) must be 0 in every month.</t>
        </is>
      </c>
    </row>
    <row r="12">
      <c r="A12" s="3" t="n"/>
    </row>
    <row r="13">
      <c r="A13" s="4" t="inlineStr">
        <is>
          <t>Rules</t>
        </is>
      </c>
    </row>
    <row r="14">
      <c r="A14" s="3" t="inlineStr">
        <is>
          <t>• Write formulas in the yellow cells on the Exercises tab. Do not type the answers as numbers: the grader checks both the value and that a formula produced it.</t>
        </is>
      </c>
    </row>
    <row r="15">
      <c r="A15" s="3" t="inlineStr">
        <is>
          <t>• Do not move, insert or delete rows or columns on any tab; the grader reads fixed cells.</t>
        </is>
      </c>
    </row>
    <row r="16">
      <c r="A16" s="3" t="inlineStr">
        <is>
          <t>• Save the file in Excel (.xlsx) so the calculated values are stored, then import it in Aurelia Finance Lab → Excel Lab → Grade a workbook. Aurelia grades a copy and never changes your file.</t>
        </is>
      </c>
    </row>
    <row r="17">
      <c r="A17" s="3" t="inlineStr">
        <is>
          <t>• Aurelia recalculates supported formulas itself because the openpyxl library reads formulas but does not calculate them. Unsupported functions are graded on Excel's saved value instead.</t>
        </is>
      </c>
    </row>
    <row r="40">
      <c r="A40" s="5" t="inlineStr">
        <is>
          <t>aurelia-workbook:three_statement:training:v1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60" customWidth="1" min="3" max="3"/>
  </cols>
  <sheetData>
    <row r="1">
      <c r="A1" s="6" t="inlineStr">
        <is>
          <t>Assumptions (inputs)</t>
        </is>
      </c>
    </row>
    <row r="4">
      <c r="A4" t="inlineStr">
        <is>
          <t>EBITDA margin</t>
        </is>
      </c>
      <c r="B4" s="7" t="n">
        <v>0.26</v>
      </c>
    </row>
    <row r="5">
      <c r="A5" t="inlineStr">
        <is>
          <t>Depreciation per month</t>
        </is>
      </c>
      <c r="B5" s="8" t="n">
        <v>850000</v>
      </c>
    </row>
    <row r="6">
      <c r="A6" t="inlineStr">
        <is>
          <t>Tax rate</t>
        </is>
      </c>
      <c r="B6" s="9" t="n">
        <v>0.2</v>
      </c>
    </row>
    <row r="7">
      <c r="A7" t="inlineStr">
        <is>
          <t>DSO (days)</t>
        </is>
      </c>
      <c r="B7" s="10" t="n">
        <v>40</v>
      </c>
    </row>
    <row r="8">
      <c r="A8" t="inlineStr">
        <is>
          <t>DPO (days)</t>
        </is>
      </c>
      <c r="B8" s="10" t="n">
        <v>35</v>
      </c>
    </row>
    <row r="9">
      <c r="A9" t="inlineStr">
        <is>
          <t>Opex ratio (purchases ÷ revenue)</t>
        </is>
      </c>
      <c r="B9" s="9" t="n">
        <v>0.55</v>
      </c>
    </row>
    <row r="10">
      <c r="A10" t="inlineStr">
        <is>
          <t>Days per month</t>
        </is>
      </c>
      <c r="B10" s="10" t="n">
        <v>30</v>
      </c>
    </row>
    <row r="12">
      <c r="A12" t="inlineStr">
        <is>
          <t>Opening cash</t>
        </is>
      </c>
      <c r="B12" s="8" t="n">
        <v>12000000</v>
      </c>
    </row>
    <row r="13">
      <c r="A13" t="inlineStr">
        <is>
          <t>Opening accounts receivable</t>
        </is>
      </c>
      <c r="B13" s="8" t="n">
        <v>8500000</v>
      </c>
    </row>
    <row r="14">
      <c r="A14" t="inlineStr">
        <is>
          <t>Opening accounts payable</t>
        </is>
      </c>
      <c r="B14" s="8" t="n">
        <v>4000000</v>
      </c>
    </row>
    <row r="15">
      <c r="A15" t="inlineStr">
        <is>
          <t>Opening fixed assets</t>
        </is>
      </c>
      <c r="B15" s="8" t="n">
        <v>60000000</v>
      </c>
    </row>
    <row r="16">
      <c r="A16" t="inlineStr">
        <is>
          <t>Opening equity</t>
        </is>
      </c>
      <c r="B16" s="8" t="n">
        <v>76500000</v>
      </c>
      <c r="C16" t="inlineStr">
        <is>
          <t>Opening balance sheet balances: cash + AR + fixed assets = AP + equity.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Six-month model (SAR)</t>
        </is>
      </c>
    </row>
    <row r="5">
      <c r="A5" s="11" t="inlineStr"/>
      <c r="B5" s="11" t="inlineStr">
        <is>
          <t>Line</t>
        </is>
      </c>
      <c r="C5" s="11" t="inlineStr">
        <is>
          <t>M1</t>
        </is>
      </c>
      <c r="D5" s="11" t="inlineStr">
        <is>
          <t>M2</t>
        </is>
      </c>
      <c r="E5" s="11" t="inlineStr">
        <is>
          <t>M3</t>
        </is>
      </c>
      <c r="F5" s="11" t="inlineStr">
        <is>
          <t>M4</t>
        </is>
      </c>
      <c r="G5" s="11" t="inlineStr">
        <is>
          <t>M5</t>
        </is>
      </c>
      <c r="H5" s="11" t="inlineStr">
        <is>
          <t>M6</t>
        </is>
      </c>
    </row>
    <row r="7">
      <c r="B7" s="12" t="inlineStr">
        <is>
          <t>Revenue</t>
        </is>
      </c>
      <c r="C7" s="13" t="n">
        <v>6800000</v>
      </c>
      <c r="D7" s="13" t="n">
        <v>7400000</v>
      </c>
      <c r="E7" s="13" t="n">
        <v>8100000</v>
      </c>
      <c r="F7" s="13" t="n">
        <v>7000000</v>
      </c>
      <c r="G7" s="13" t="n">
        <v>6200000</v>
      </c>
      <c r="H7" s="13" t="n">
        <v>5600000</v>
      </c>
    </row>
    <row r="8">
      <c r="B8" s="12" t="inlineStr">
        <is>
          <t>EBITDA</t>
        </is>
      </c>
      <c r="C8" s="14" t="n"/>
      <c r="D8" s="14" t="n"/>
      <c r="E8" s="14" t="n"/>
      <c r="F8" s="14" t="n"/>
      <c r="G8" s="14" t="n"/>
      <c r="H8" s="14" t="n"/>
    </row>
    <row r="9">
      <c r="B9" s="12" t="inlineStr">
        <is>
          <t>Depreciation</t>
        </is>
      </c>
      <c r="C9" s="13">
        <f>Assumptions!$B$5</f>
        <v/>
      </c>
      <c r="D9" s="13">
        <f>Assumptions!$B$5</f>
        <v/>
      </c>
      <c r="E9" s="13">
        <f>Assumptions!$B$5</f>
        <v/>
      </c>
      <c r="F9" s="13">
        <f>Assumptions!$B$5</f>
        <v/>
      </c>
      <c r="G9" s="13">
        <f>Assumptions!$B$5</f>
        <v/>
      </c>
      <c r="H9" s="13">
        <f>Assumptions!$B$5</f>
        <v/>
      </c>
    </row>
    <row r="10">
      <c r="B10" s="12" t="inlineStr">
        <is>
          <t>EBIT</t>
        </is>
      </c>
      <c r="C10" s="14" t="n"/>
      <c r="D10" s="14" t="n"/>
      <c r="E10" s="14" t="n"/>
      <c r="F10" s="14" t="n"/>
      <c r="G10" s="14" t="n"/>
      <c r="H10" s="14" t="n"/>
    </row>
    <row r="11">
      <c r="B11" s="12" t="inlineStr">
        <is>
          <t>Tax</t>
        </is>
      </c>
      <c r="C11" s="14" t="n"/>
      <c r="D11" s="14" t="n"/>
      <c r="E11" s="14" t="n"/>
      <c r="F11" s="14" t="n"/>
      <c r="G11" s="14" t="n"/>
      <c r="H11" s="14" t="n"/>
    </row>
    <row r="12">
      <c r="B12" s="12" t="inlineStr">
        <is>
          <t>Net income</t>
        </is>
      </c>
      <c r="C12" s="14" t="n"/>
      <c r="D12" s="14" t="n"/>
      <c r="E12" s="14" t="n"/>
      <c r="F12" s="14" t="n"/>
      <c r="G12" s="14" t="n"/>
      <c r="H12" s="14" t="n"/>
    </row>
    <row r="13">
      <c r="C13" s="13" t="n"/>
      <c r="D13" s="13" t="n"/>
      <c r="E13" s="13" t="n"/>
      <c r="F13" s="13" t="n"/>
      <c r="G13" s="13" t="n"/>
      <c r="H13" s="13" t="n"/>
    </row>
    <row r="14">
      <c r="B14" s="15" t="inlineStr">
        <is>
          <t>Working capital</t>
        </is>
      </c>
      <c r="C14" s="13" t="n"/>
      <c r="D14" s="13" t="n"/>
      <c r="E14" s="13" t="n"/>
      <c r="F14" s="13" t="n"/>
      <c r="G14" s="13" t="n"/>
      <c r="H14" s="13" t="n"/>
    </row>
    <row r="15">
      <c r="B15" s="12" t="inlineStr">
        <is>
          <t>Accounts receivable</t>
        </is>
      </c>
      <c r="C15" s="14" t="n"/>
      <c r="D15" s="14" t="n"/>
      <c r="E15" s="14" t="n"/>
      <c r="F15" s="14" t="n"/>
      <c r="G15" s="14" t="n"/>
      <c r="H15" s="14" t="n"/>
    </row>
    <row r="16">
      <c r="B16" s="12" t="inlineStr">
        <is>
          <t>Accounts payable</t>
        </is>
      </c>
      <c r="C16" s="14" t="n"/>
      <c r="D16" s="14" t="n"/>
      <c r="E16" s="14" t="n"/>
      <c r="F16" s="14" t="n"/>
      <c r="G16" s="14" t="n"/>
      <c r="H16" s="14" t="n"/>
    </row>
    <row r="17">
      <c r="C17" s="13" t="n"/>
      <c r="D17" s="13" t="n"/>
      <c r="E17" s="13" t="n"/>
      <c r="F17" s="13" t="n"/>
      <c r="G17" s="13" t="n"/>
      <c r="H17" s="13" t="n"/>
    </row>
    <row r="18">
      <c r="B18" s="15" t="inlineStr">
        <is>
          <t>Cash flow</t>
        </is>
      </c>
      <c r="C18" s="13" t="n"/>
      <c r="D18" s="13" t="n"/>
      <c r="E18" s="13" t="n"/>
      <c r="F18" s="13" t="n"/>
      <c r="G18" s="13" t="n"/>
      <c r="H18" s="13" t="n"/>
    </row>
    <row r="19">
      <c r="B19" s="12" t="inlineStr">
        <is>
          <t>Cash from operations</t>
        </is>
      </c>
      <c r="C19" s="14" t="n"/>
      <c r="D19" s="14" t="n"/>
      <c r="E19" s="14" t="n"/>
      <c r="F19" s="14" t="n"/>
      <c r="G19" s="14" t="n"/>
      <c r="H19" s="14" t="n"/>
    </row>
    <row r="20">
      <c r="B20" s="12" t="inlineStr">
        <is>
          <t>Capex</t>
        </is>
      </c>
      <c r="C20" s="13" t="n">
        <v>300000</v>
      </c>
      <c r="D20" s="13" t="n">
        <v>0</v>
      </c>
      <c r="E20" s="13" t="n">
        <v>1200000</v>
      </c>
      <c r="F20" s="13" t="n">
        <v>0</v>
      </c>
      <c r="G20" s="13" t="n">
        <v>150000</v>
      </c>
      <c r="H20" s="13" t="n">
        <v>0</v>
      </c>
    </row>
    <row r="21">
      <c r="C21" s="13" t="n"/>
      <c r="D21" s="13" t="n"/>
      <c r="E21" s="13" t="n"/>
      <c r="F21" s="13" t="n"/>
      <c r="G21" s="13" t="n"/>
      <c r="H21" s="13" t="n"/>
    </row>
    <row r="22">
      <c r="B22" s="12" t="inlineStr">
        <is>
          <t>Closing cash</t>
        </is>
      </c>
      <c r="C22" s="14" t="n"/>
      <c r="D22" s="14" t="n"/>
      <c r="E22" s="14" t="n"/>
      <c r="F22" s="14" t="n"/>
      <c r="G22" s="14" t="n"/>
      <c r="H22" s="14" t="n"/>
    </row>
    <row r="23">
      <c r="B23" s="12" t="inlineStr">
        <is>
          <t>Fixed assets (net)</t>
        </is>
      </c>
      <c r="C23" s="14" t="n"/>
      <c r="D23" s="14" t="n"/>
      <c r="E23" s="14" t="n"/>
      <c r="F23" s="14" t="n"/>
      <c r="G23" s="14" t="n"/>
      <c r="H23" s="14" t="n"/>
    </row>
    <row r="24">
      <c r="B24" s="15" t="inlineStr">
        <is>
          <t>Balance sheet</t>
        </is>
      </c>
      <c r="C24" s="13" t="n"/>
      <c r="D24" s="13" t="n"/>
      <c r="E24" s="13" t="n"/>
      <c r="F24" s="13" t="n"/>
      <c r="G24" s="13" t="n"/>
      <c r="H24" s="13" t="n"/>
    </row>
    <row r="25">
      <c r="B25" s="12" t="inlineStr">
        <is>
          <t>Equity</t>
        </is>
      </c>
      <c r="C25" s="14" t="n"/>
      <c r="D25" s="14" t="n"/>
      <c r="E25" s="14" t="n"/>
      <c r="F25" s="14" t="n"/>
      <c r="G25" s="14" t="n"/>
      <c r="H25" s="14" t="n"/>
    </row>
    <row r="26">
      <c r="C26" s="13" t="n"/>
      <c r="D26" s="13" t="n"/>
      <c r="E26" s="13" t="n"/>
      <c r="F26" s="13" t="n"/>
      <c r="G26" s="13" t="n"/>
      <c r="H26" s="13" t="n"/>
    </row>
    <row r="27">
      <c r="B27" s="12" t="inlineStr">
        <is>
          <t>Balance check</t>
        </is>
      </c>
      <c r="C27" s="14" t="n"/>
      <c r="D27" s="14" t="n"/>
      <c r="E27" s="14" t="n"/>
      <c r="F27" s="14" t="n"/>
      <c r="G27" s="14" t="n"/>
      <c r="H2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2026-10-17T23:35:11Z</dcterms:created>
  <dcterms:modified xmlns:dcterms="http://purl.org/dc/terms/" xmlns:xsi="http://www.w3.org/2001/XMLSchema-instance" xsi:type="dcterms:W3CDTF">2026-10-17T23:35:11Z</dcterms:modified>
</cp:coreProperties>
</file>