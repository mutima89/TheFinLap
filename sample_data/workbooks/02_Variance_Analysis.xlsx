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Brid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%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7F7F7F"/>
    </font>
    <font>
      <b val="1"/>
    </font>
    <font>
      <b val="1"/>
      <sz val="13"/>
    </font>
    <font>
      <b val="1"/>
      <color rgb="00FFFFFF"/>
    </font>
    <font>
      <color rgb="00BFBFBF"/>
      <sz val="8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9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3" fontId="0" fillId="3" borderId="1" pivotButton="0" quotePrefix="0" xfId="0"/>
    <xf numFmtId="164" fontId="0" fillId="3" borderId="1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4" fontId="0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Aurelia</author>
  </authors>
  <commentList>
    <comment ref="A40" authorId="0" shapeId="0">
      <text>
        <t>Used by the grader to recognise the workbook. Please leave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02 Variance Analysis</t>
        </is>
      </c>
    </row>
    <row r="2">
      <c r="A2" s="2" t="inlineStr">
        <is>
          <t>Fictional training data generated by Aurelia Finance Lab for The Aurelia Grand. Not real hotel data and not an industry benchmark.</t>
        </is>
      </c>
    </row>
    <row r="3">
      <c r="A3" s="3" t="n"/>
    </row>
    <row r="4">
      <c r="A4" s="4" t="inlineStr">
        <is>
          <t>Learning objective</t>
        </is>
      </c>
    </row>
    <row r="5">
      <c r="A5" s="3" t="inlineStr">
        <is>
          <t>Build a year-to-date variance table with favourable/unfavourable flags and materiality, split rooms revenue into rate and volume, and flex the F&amp;B cost-of-sales budget.</t>
        </is>
      </c>
    </row>
    <row r="6">
      <c r="A6" s="3" t="n"/>
    </row>
    <row r="7">
      <c r="A7" s="4" t="inlineStr">
        <is>
          <t>How to work</t>
        </is>
      </c>
    </row>
    <row r="8">
      <c r="A8" s="3" t="inlineStr">
        <is>
          <t>1. Read the Assumptions tab (thresholds and activity drivers).</t>
        </is>
      </c>
    </row>
    <row r="9">
      <c r="A9" s="3" t="inlineStr">
        <is>
          <t>2. Variance tab: fill columns E–H for every line.</t>
        </is>
      </c>
    </row>
    <row r="10">
      <c r="A10" s="3" t="inlineStr">
        <is>
          <t>3. Bridge tab: tasks 2.11–2.18.</t>
        </is>
      </c>
    </row>
    <row r="11">
      <c r="A11" s="3" t="inlineStr">
        <is>
          <t>4. Explain each material variance in your own words in column I. Only state a cause you can support with the data; otherwise write 'to be confirmed'.</t>
        </is>
      </c>
    </row>
    <row r="12">
      <c r="A12" s="3" t="n"/>
    </row>
    <row r="13">
      <c r="A13" s="4" t="inlineStr">
        <is>
          <t>Rules</t>
        </is>
      </c>
    </row>
    <row r="14">
      <c r="A14" s="3" t="inlineStr">
        <is>
          <t>• Write formulas in the yellow cells on the Exercises tab. Do not type the answers as numbers: the grader checks both the value and that a formula produced it.</t>
        </is>
      </c>
    </row>
    <row r="15">
      <c r="A15" s="3" t="inlineStr">
        <is>
          <t>• Do not move, insert or delete rows or columns on any tab; the grader reads fixed cells.</t>
        </is>
      </c>
    </row>
    <row r="16">
      <c r="A16" s="3" t="inlineStr">
        <is>
          <t>• Save the file in Excel (.xlsx) so the calculated values are stored, then import it in Aurelia Finance Lab → Excel Lab → Grade a workbook. Aurelia grades a copy and never changes your file.</t>
        </is>
      </c>
    </row>
    <row r="17">
      <c r="A17" s="3" t="inlineStr">
        <is>
          <t>• Aurelia recalculates supported formulas itself because the openpyxl library reads formulas but does not calculate them. Unsupported functions are graded on Excel's saved value instead.</t>
        </is>
      </c>
    </row>
    <row r="40">
      <c r="A40" s="5" t="inlineStr">
        <is>
          <t>aurelia-workbook:variance:training:v1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6" t="inlineStr">
        <is>
          <t>Assumptions — year to date, 9 months</t>
        </is>
      </c>
    </row>
    <row r="3">
      <c r="A3" s="7" t="inlineStr">
        <is>
          <t>Materiality</t>
        </is>
      </c>
    </row>
    <row r="4">
      <c r="A4" t="inlineStr">
        <is>
          <t>Absolute threshold (SAR)</t>
        </is>
      </c>
      <c r="B4" t="n">
        <v>250000</v>
      </c>
    </row>
    <row r="5">
      <c r="A5" t="inlineStr">
        <is>
          <t>Percentage threshold</t>
        </is>
      </c>
      <c r="B5" s="8" t="n">
        <v>0.05</v>
      </c>
    </row>
    <row r="6">
      <c r="A6" s="9" t="inlineStr">
        <is>
          <t>Activity driver</t>
        </is>
      </c>
      <c r="B6" s="9" t="inlineStr">
        <is>
          <t>Budget</t>
        </is>
      </c>
      <c r="C6" s="9" t="inlineStr">
        <is>
          <t>Actual</t>
        </is>
      </c>
    </row>
    <row r="7">
      <c r="A7" t="inlineStr">
        <is>
          <t>Room nights sold</t>
        </is>
      </c>
      <c r="B7" s="10" t="n">
        <v>29754</v>
      </c>
      <c r="C7" s="10" t="n">
        <v>29972</v>
      </c>
    </row>
    <row r="8">
      <c r="A8" t="inlineStr">
        <is>
          <t>Rooms revenue (SAR)</t>
        </is>
      </c>
      <c r="B8" s="10" t="n">
        <v>33561073</v>
      </c>
      <c r="C8" s="10" t="n">
        <v>34075415</v>
      </c>
    </row>
    <row r="9">
      <c r="A9" t="inlineStr">
        <is>
          <t>F&amp;B revenue (SAR)</t>
        </is>
      </c>
      <c r="B9" s="10" t="n">
        <v>20203035</v>
      </c>
      <c r="C9" s="10" t="n">
        <v>20283037</v>
      </c>
    </row>
    <row r="10">
      <c r="A10" t="inlineStr">
        <is>
          <t>F&amp;B cost of sales (SAR)</t>
        </is>
      </c>
      <c r="B10" s="10" t="n">
        <v>5879083</v>
      </c>
      <c r="C10" s="10" t="n">
        <v>6235006</v>
      </c>
    </row>
    <row r="11">
      <c r="A11" t="inlineStr">
        <is>
          <t>F&amp;B covers</t>
        </is>
      </c>
      <c r="B11" s="10" t="n">
        <v>92810</v>
      </c>
      <c r="C11" s="10" t="n">
        <v>93228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4" customWidth="1" min="5" max="5"/>
    <col width="9" customWidth="1" min="6" max="6"/>
    <col width="6" customWidth="1" min="7" max="7"/>
    <col width="10" customWidth="1" min="8" max="8"/>
    <col width="60" customWidth="1" min="9" max="9"/>
  </cols>
  <sheetData>
    <row r="1">
      <c r="A1" s="6" t="inlineStr">
        <is>
          <t>Year-to-date variance analysis</t>
        </is>
      </c>
    </row>
    <row r="2">
      <c r="A2" t="inlineStr">
        <is>
          <t>Fill the yellow cells E–H for every line. Column I is for your written explanation (not graded).</t>
        </is>
      </c>
    </row>
    <row r="5">
      <c r="A5" s="9" t="inlineStr">
        <is>
          <t>Line</t>
        </is>
      </c>
      <c r="B5" s="9" t="inlineStr">
        <is>
          <t>Type</t>
        </is>
      </c>
      <c r="C5" s="9" t="inlineStr">
        <is>
          <t>Budget</t>
        </is>
      </c>
      <c r="D5" s="9" t="inlineStr">
        <is>
          <t>Actual</t>
        </is>
      </c>
      <c r="E5" s="9" t="inlineStr">
        <is>
          <t>Variance</t>
        </is>
      </c>
      <c r="F5" s="9" t="inlineStr">
        <is>
          <t>Var %</t>
        </is>
      </c>
      <c r="G5" s="9" t="inlineStr">
        <is>
          <t>F/U</t>
        </is>
      </c>
      <c r="H5" s="9" t="inlineStr">
        <is>
          <t>Material?</t>
        </is>
      </c>
      <c r="I5" s="9" t="inlineStr">
        <is>
          <t>Explanation</t>
        </is>
      </c>
    </row>
    <row r="6">
      <c r="A6" t="inlineStr">
        <is>
          <t>Rooms revenue</t>
        </is>
      </c>
      <c r="B6" t="inlineStr">
        <is>
          <t>Revenue</t>
        </is>
      </c>
      <c r="C6" s="10" t="n">
        <v>33561073</v>
      </c>
      <c r="D6" s="10" t="n">
        <v>34075415</v>
      </c>
      <c r="E6" s="11" t="n"/>
      <c r="F6" s="12" t="n"/>
      <c r="G6" s="11" t="n"/>
      <c r="H6" s="11" t="n"/>
      <c r="I6" s="13" t="n"/>
    </row>
    <row r="7">
      <c r="A7" t="inlineStr">
        <is>
          <t>F&amp;B revenue</t>
        </is>
      </c>
      <c r="B7" t="inlineStr">
        <is>
          <t>Revenue</t>
        </is>
      </c>
      <c r="C7" s="10" t="n">
        <v>20203035</v>
      </c>
      <c r="D7" s="10" t="n">
        <v>20283037</v>
      </c>
      <c r="E7" s="11" t="n"/>
      <c r="F7" s="12" t="n"/>
      <c r="G7" s="11" t="n"/>
      <c r="H7" s="11" t="n"/>
      <c r="I7" s="13" t="n"/>
    </row>
    <row r="8">
      <c r="A8" t="inlineStr">
        <is>
          <t>Spa revenue</t>
        </is>
      </c>
      <c r="B8" t="inlineStr">
        <is>
          <t>Revenue</t>
        </is>
      </c>
      <c r="C8" s="10" t="n">
        <v>2611907</v>
      </c>
      <c r="D8" s="10" t="n">
        <v>2331011</v>
      </c>
      <c r="E8" s="11" t="n"/>
      <c r="F8" s="12" t="n"/>
      <c r="G8" s="11" t="n"/>
      <c r="H8" s="11" t="n"/>
      <c r="I8" s="13" t="n"/>
    </row>
    <row r="9">
      <c r="A9" t="inlineStr">
        <is>
          <t>Events revenue</t>
        </is>
      </c>
      <c r="B9" t="inlineStr">
        <is>
          <t>Revenue</t>
        </is>
      </c>
      <c r="C9" s="10" t="n">
        <v>8109867</v>
      </c>
      <c r="D9" s="10" t="n">
        <v>8109867</v>
      </c>
      <c r="E9" s="11" t="n"/>
      <c r="F9" s="12" t="n"/>
      <c r="G9" s="11" t="n"/>
      <c r="H9" s="11" t="n"/>
      <c r="I9" s="13" t="n"/>
    </row>
    <row r="10">
      <c r="A10" t="inlineStr">
        <is>
          <t>Rooms expenses</t>
        </is>
      </c>
      <c r="B10" t="inlineStr">
        <is>
          <t>Cost</t>
        </is>
      </c>
      <c r="C10" s="10" t="n">
        <v>9994927</v>
      </c>
      <c r="D10" s="10" t="n">
        <v>10661412</v>
      </c>
      <c r="E10" s="11" t="n"/>
      <c r="F10" s="12" t="n"/>
      <c r="G10" s="11" t="n"/>
      <c r="H10" s="11" t="n"/>
      <c r="I10" s="13" t="n"/>
    </row>
    <row r="11">
      <c r="A11" t="inlineStr">
        <is>
          <t>F&amp;B cost of sales</t>
        </is>
      </c>
      <c r="B11" t="inlineStr">
        <is>
          <t>Cost</t>
        </is>
      </c>
      <c r="C11" s="10" t="n">
        <v>5879083</v>
      </c>
      <c r="D11" s="10" t="n">
        <v>6235006</v>
      </c>
      <c r="E11" s="11" t="n"/>
      <c r="F11" s="12" t="n"/>
      <c r="G11" s="11" t="n"/>
      <c r="H11" s="11" t="n"/>
      <c r="I11" s="13" t="n"/>
    </row>
    <row r="12">
      <c r="A12" t="inlineStr">
        <is>
          <t>F&amp;B labour</t>
        </is>
      </c>
      <c r="B12" t="inlineStr">
        <is>
          <t>Cost</t>
        </is>
      </c>
      <c r="C12" s="10" t="n">
        <v>7166443</v>
      </c>
      <c r="D12" s="10" t="n">
        <v>7761089</v>
      </c>
      <c r="E12" s="11" t="n"/>
      <c r="F12" s="12" t="n"/>
      <c r="G12" s="11" t="n"/>
      <c r="H12" s="11" t="n"/>
      <c r="I12" s="13" t="n"/>
    </row>
    <row r="13">
      <c r="A13" t="inlineStr">
        <is>
          <t>Sales &amp; marketing</t>
        </is>
      </c>
      <c r="B13" t="inlineStr">
        <is>
          <t>Cost</t>
        </is>
      </c>
      <c r="C13" s="10" t="n">
        <v>2892654</v>
      </c>
      <c r="D13" s="10" t="n">
        <v>3367993</v>
      </c>
      <c r="E13" s="11" t="n"/>
      <c r="F13" s="12" t="n"/>
      <c r="G13" s="11" t="n"/>
      <c r="H13" s="11" t="n"/>
      <c r="I13" s="13" t="n"/>
    </row>
    <row r="14">
      <c r="A14" t="inlineStr">
        <is>
          <t>Utilities</t>
        </is>
      </c>
      <c r="B14" t="inlineStr">
        <is>
          <t>Cost</t>
        </is>
      </c>
      <c r="C14" s="10" t="n">
        <v>1897179</v>
      </c>
      <c r="D14" s="10" t="n">
        <v>2036132</v>
      </c>
      <c r="E14" s="11" t="n"/>
      <c r="F14" s="12" t="n"/>
      <c r="G14" s="11" t="n"/>
      <c r="H14" s="11" t="n"/>
      <c r="I14" s="13" t="n"/>
    </row>
    <row r="15">
      <c r="A15" t="inlineStr">
        <is>
          <t>Commissions</t>
        </is>
      </c>
      <c r="B15" t="inlineStr">
        <is>
          <t>Cost</t>
        </is>
      </c>
      <c r="C15" s="10" t="n">
        <v>1948657</v>
      </c>
      <c r="D15" s="10" t="n">
        <v>2433775</v>
      </c>
      <c r="E15" s="11" t="n"/>
      <c r="F15" s="12" t="n"/>
      <c r="G15" s="11" t="n"/>
      <c r="H15" s="11" t="n"/>
      <c r="I15" s="13" t="n"/>
    </row>
    <row r="17">
      <c r="A17" s="7" t="inlineStr">
        <is>
          <t>Count of material lines</t>
        </is>
      </c>
      <c r="H17">
        <f>COUNTIF(H6:H15,"Yes")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64" customWidth="1" min="3" max="3"/>
    <col width="18" customWidth="1" min="4" max="4"/>
    <col width="50" customWidth="1" min="5" max="5"/>
  </cols>
  <sheetData>
    <row r="1">
      <c r="A1" s="6" t="inlineStr">
        <is>
          <t>Rooms revenue bridge and flexible budget</t>
        </is>
      </c>
    </row>
    <row r="4">
      <c r="A4" s="9" t="inlineStr">
        <is>
          <t>#</t>
        </is>
      </c>
      <c r="B4" s="9" t="inlineStr">
        <is>
          <t>Task</t>
        </is>
      </c>
      <c r="C4" s="9" t="inlineStr">
        <is>
          <t>What to calculate</t>
        </is>
      </c>
      <c r="D4" s="9" t="inlineStr">
        <is>
          <t>Your answer</t>
        </is>
      </c>
      <c r="E4" s="9" t="inlineStr">
        <is>
          <t>Hint</t>
        </is>
      </c>
    </row>
    <row r="5">
      <c r="A5" t="inlineStr">
        <is>
          <t>2.11</t>
        </is>
      </c>
      <c r="B5" t="inlineStr">
        <is>
          <t>Budget ADR</t>
        </is>
      </c>
      <c r="C5" s="14" t="inlineStr">
        <is>
          <t>Budget rooms revenue ÷ budget room nights (Assumptions).</t>
        </is>
      </c>
      <c r="D5" s="15" t="n"/>
      <c r="E5" t="inlineStr"/>
    </row>
    <row r="6">
      <c r="A6" t="inlineStr">
        <is>
          <t>2.12</t>
        </is>
      </c>
      <c r="B6" t="inlineStr">
        <is>
          <t>Actual ADR</t>
        </is>
      </c>
      <c r="C6" s="14" t="inlineStr">
        <is>
          <t>Actual rooms revenue ÷ actual room nights.</t>
        </is>
      </c>
      <c r="D6" s="15" t="n"/>
      <c r="E6" t="inlineStr"/>
    </row>
    <row r="7">
      <c r="A7" t="inlineStr">
        <is>
          <t>2.13</t>
        </is>
      </c>
      <c r="B7" t="inlineStr">
        <is>
          <t>Rate variance</t>
        </is>
      </c>
      <c r="C7" s="14" t="inlineStr">
        <is>
          <t>(Actual ADR − Budget ADR) × ACTUAL room nights.</t>
        </is>
      </c>
      <c r="D7" s="15" t="n"/>
      <c r="E7" t="inlineStr">
        <is>
          <t>Price effect measured at actual volume.</t>
        </is>
      </c>
    </row>
    <row r="8">
      <c r="A8" t="inlineStr">
        <is>
          <t>2.14</t>
        </is>
      </c>
      <c r="B8" t="inlineStr">
        <is>
          <t>Volume variance</t>
        </is>
      </c>
      <c r="C8" s="14" t="inlineStr">
        <is>
          <t>(Actual room nights − Budget room nights) × BUDGET ADR.</t>
        </is>
      </c>
      <c r="D8" s="15" t="n"/>
      <c r="E8" t="inlineStr">
        <is>
          <t>Volume effect at budget price.</t>
        </is>
      </c>
    </row>
    <row r="9">
      <c r="A9" t="inlineStr">
        <is>
          <t>2.15</t>
        </is>
      </c>
      <c r="B9" t="inlineStr">
        <is>
          <t>Bridge check</t>
        </is>
      </c>
      <c r="C9" s="14" t="inlineStr">
        <is>
          <t>Rate + volume − total rooms revenue variance (must be 0).</t>
        </is>
      </c>
      <c r="D9" s="15" t="n"/>
      <c r="E9" t="inlineStr">
        <is>
          <t>If not zero, one of the bases is wrong.</t>
        </is>
      </c>
    </row>
    <row r="11">
      <c r="B11" s="7" t="inlineStr">
        <is>
          <t>Flexible budget — F&amp;B cost of sales</t>
        </is>
      </c>
    </row>
    <row r="12">
      <c r="A12" t="inlineStr">
        <is>
          <t>2.16</t>
        </is>
      </c>
      <c r="B12" t="inlineStr">
        <is>
          <t>Budget F&amp;B cost-of-sales rate</t>
        </is>
      </c>
      <c r="C12" s="14" t="inlineStr">
        <is>
          <t>Budget F&amp;B cost of sales ÷ budget F&amp;B revenue.</t>
        </is>
      </c>
      <c r="D12" s="16" t="n"/>
      <c r="E12" t="inlineStr"/>
    </row>
    <row r="13">
      <c r="A13" t="inlineStr">
        <is>
          <t>2.17</t>
        </is>
      </c>
      <c r="B13" t="inlineStr">
        <is>
          <t>Flexed budget cost of sales</t>
        </is>
      </c>
      <c r="C13" s="14" t="inlineStr">
        <is>
          <t>Budget rate × ACTUAL F&amp;B revenue.</t>
        </is>
      </c>
      <c r="D13" s="15" t="n"/>
      <c r="E13" t="inlineStr"/>
    </row>
    <row r="14">
      <c r="A14" t="inlineStr">
        <is>
          <t>2.18</t>
        </is>
      </c>
      <c r="B14" t="inlineStr">
        <is>
          <t>Cost-of-sales efficiency variance</t>
        </is>
      </c>
      <c r="C14" s="14" t="inlineStr">
        <is>
          <t>Actual cost of sales − flexed budget.</t>
        </is>
      </c>
      <c r="D14" s="15" t="n"/>
      <c r="E14" t="inlineStr">
        <is>
          <t>Positive = unfavourable for a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2026-10-17T23:35:11Z</dcterms:created>
  <dcterms:modified xmlns:dcterms="http://purl.org/dc/terms/" xmlns:xsi="http://www.w3.org/2001/XMLSchema-instance" xsi:type="dcterms:W3CDTF">2026-10-17T23:35:11Z</dcterms:modified>
</cp:coreProperties>
</file>