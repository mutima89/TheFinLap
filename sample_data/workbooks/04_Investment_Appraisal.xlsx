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shflows" sheetId="3" state="visible" r:id="rId3"/>
    <sheet xmlns:r="http://schemas.openxmlformats.org/officeDocument/2006/relationships" name="Exerci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7F7F7F"/>
    </font>
    <font>
      <b val="1"/>
    </font>
    <font>
      <b val="1"/>
      <sz val="13"/>
    </font>
    <font>
      <b val="1"/>
      <color rgb="00FFFFFF"/>
    </font>
    <font>
      <color rgb="00BFBFBF"/>
      <sz val="8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3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10" fontId="0" fillId="2" borderId="1" pivotButton="0" quotePrefix="0" xfId="0"/>
    <xf numFmtId="165" fontId="0" fillId="2" borderId="1" pivotButton="0" quotePrefix="0" xfId="0"/>
    <xf numFmtId="1" fontId="0" fillId="2" borderId="1" pivotButton="0" quotePrefix="0" xfId="0"/>
    <xf numFmtId="2" fontId="0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Aurelia</author>
  </authors>
  <commentList>
    <comment ref="A40" authorId="0" shapeId="0">
      <text>
        <t>Used by the grader to recognise the workbook. Please leave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04 Investment Appraisal</t>
        </is>
      </c>
    </row>
    <row r="2">
      <c r="A2" s="2" t="inlineStr">
        <is>
          <t>Fictional training data generated by Aurelia Finance Lab for The Aurelia Grand. Not real hotel data and not an industry benchmark.</t>
        </is>
      </c>
    </row>
    <row r="3">
      <c r="A3" s="3" t="n"/>
    </row>
    <row r="4">
      <c r="A4" s="4" t="inlineStr">
        <is>
          <t>Learning objective</t>
        </is>
      </c>
    </row>
    <row r="5">
      <c r="A5" s="3" t="inlineStr">
        <is>
          <t>Appraise a guest-room refresh with NPV, IRR, PI, payback, discounted payback and the financing payment.</t>
        </is>
      </c>
    </row>
    <row r="6">
      <c r="A6" s="3" t="n"/>
    </row>
    <row r="7">
      <c r="A7" s="4" t="inlineStr">
        <is>
          <t>How to work</t>
        </is>
      </c>
    </row>
    <row r="8">
      <c r="A8" s="3" t="inlineStr">
        <is>
          <t>1. Assumptions: rate and loan terms.</t>
        </is>
      </c>
    </row>
    <row r="9">
      <c r="A9" s="3" t="inlineStr">
        <is>
          <t>2. Cashflows: fill rows 7–8 (discounted and cumulative).</t>
        </is>
      </c>
    </row>
    <row r="10">
      <c r="A10" s="3" t="inlineStr">
        <is>
          <t>3. Exercises: tasks 4.1–4.8.</t>
        </is>
      </c>
    </row>
    <row r="11">
      <c r="A11" s="3" t="inlineStr">
        <is>
          <t>4. NPV is the primary decision rule; IRR, PI and payback support it.</t>
        </is>
      </c>
    </row>
    <row r="12">
      <c r="A12" s="3" t="n"/>
    </row>
    <row r="13">
      <c r="A13" s="4" t="inlineStr">
        <is>
          <t>Rules</t>
        </is>
      </c>
    </row>
    <row r="14">
      <c r="A14" s="3" t="inlineStr">
        <is>
          <t>• Write formulas in the yellow cells on the Exercises tab. Do not type the answers as numbers: the grader checks both the value and that a formula produced it.</t>
        </is>
      </c>
    </row>
    <row r="15">
      <c r="A15" s="3" t="inlineStr">
        <is>
          <t>• Do not move, insert or delete rows or columns on any tab; the grader reads fixed cells.</t>
        </is>
      </c>
    </row>
    <row r="16">
      <c r="A16" s="3" t="inlineStr">
        <is>
          <t>• Save the file in Excel (.xlsx) so the calculated values are stored, then import it in Aurelia Finance Lab → Excel Lab → Grade a workbook. Aurelia grades a copy and never changes your file.</t>
        </is>
      </c>
    </row>
    <row r="17">
      <c r="A17" s="3" t="inlineStr">
        <is>
          <t>• Aurelia recalculates supported formulas itself because the openpyxl library reads formulas but does not calculate them. Unsupported functions are graded on Excel's saved value instead.</t>
        </is>
      </c>
    </row>
    <row r="40">
      <c r="A40" s="5" t="inlineStr">
        <is>
          <t>aurelia-workbook:investment:training:v1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6" t="inlineStr">
        <is>
          <t>Assumptions — guest-room refresh (fictional)</t>
        </is>
      </c>
    </row>
    <row r="4">
      <c r="A4" t="inlineStr">
        <is>
          <t>Discount rate (WACC)</t>
        </is>
      </c>
      <c r="B4" s="7" t="n">
        <v>0.1</v>
      </c>
    </row>
    <row r="5">
      <c r="A5" t="inlineStr">
        <is>
          <t>Loan amount</t>
        </is>
      </c>
      <c r="B5" s="8" t="n">
        <v>3000000</v>
      </c>
    </row>
    <row r="6">
      <c r="A6" t="inlineStr">
        <is>
          <t>Loan interest rate</t>
        </is>
      </c>
      <c r="B6" s="9" t="n">
        <v>0.065</v>
      </c>
    </row>
    <row r="7">
      <c r="A7" t="inlineStr">
        <is>
          <t>Loan term (years)</t>
        </is>
      </c>
      <c r="B7" s="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After-tax incremental cash flows (SAR)</t>
        </is>
      </c>
    </row>
    <row r="4">
      <c r="B4" t="inlineStr">
        <is>
          <t>Year</t>
        </is>
      </c>
      <c r="C4" t="n">
        <v>0</v>
      </c>
      <c r="D4" t="n">
        <v>1</v>
      </c>
      <c r="E4" t="n">
        <v>2</v>
      </c>
      <c r="F4" t="n">
        <v>3</v>
      </c>
      <c r="G4" t="n">
        <v>4</v>
      </c>
      <c r="H4" t="n">
        <v>5</v>
      </c>
    </row>
    <row r="5">
      <c r="B5" t="inlineStr">
        <is>
          <t>Cash flow</t>
        </is>
      </c>
      <c r="C5" s="8" t="n">
        <v>-4500000</v>
      </c>
      <c r="D5" s="8" t="n">
        <v>1050000</v>
      </c>
      <c r="E5" s="8" t="n">
        <v>1200000</v>
      </c>
      <c r="F5" s="8" t="n">
        <v>1300000</v>
      </c>
      <c r="G5" s="8" t="n">
        <v>1350000</v>
      </c>
      <c r="H5" s="8" t="n">
        <v>1400000</v>
      </c>
    </row>
    <row r="6">
      <c r="B6" t="inlineStr">
        <is>
          <t>Cumulative cash flow</t>
        </is>
      </c>
      <c r="C6" s="8">
        <f>C5</f>
        <v/>
      </c>
      <c r="D6" s="8">
        <f>C6+D5</f>
        <v/>
      </c>
      <c r="E6" s="8">
        <f>D6+E5</f>
        <v/>
      </c>
      <c r="F6" s="8">
        <f>E6+F5</f>
        <v/>
      </c>
      <c r="G6" s="8">
        <f>F6+G5</f>
        <v/>
      </c>
      <c r="H6" s="8">
        <f>G6+H5</f>
        <v/>
      </c>
    </row>
    <row r="7">
      <c r="B7" t="inlineStr">
        <is>
          <t>Discounted cash flow</t>
        </is>
      </c>
      <c r="C7" s="11" t="n"/>
      <c r="D7" s="11" t="n"/>
      <c r="E7" s="11" t="n"/>
      <c r="F7" s="11" t="n"/>
      <c r="G7" s="11" t="n"/>
      <c r="H7" s="11" t="n"/>
    </row>
    <row r="8">
      <c r="B8" t="inlineStr">
        <is>
          <t>Cumulative discounted</t>
        </is>
      </c>
      <c r="C8" s="11" t="n"/>
      <c r="D8" s="11" t="n"/>
      <c r="E8" s="11" t="n"/>
      <c r="F8" s="11" t="n"/>
      <c r="G8" s="11" t="n"/>
      <c r="H8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18" customWidth="1" min="4" max="4"/>
    <col width="60" customWidth="1" min="5" max="5"/>
  </cols>
  <sheetData>
    <row r="1">
      <c r="A1" s="6" t="inlineStr">
        <is>
          <t>04 Investment Appraisal — exercises</t>
        </is>
      </c>
    </row>
    <row r="2">
      <c r="A2" t="inlineStr">
        <is>
          <t>Enter a formula in each yellow cell (column D).</t>
        </is>
      </c>
    </row>
    <row r="4">
      <c r="A4" s="12" t="inlineStr">
        <is>
          <t>#</t>
        </is>
      </c>
      <c r="B4" s="12" t="inlineStr">
        <is>
          <t>Task</t>
        </is>
      </c>
      <c r="C4" s="12" t="inlineStr">
        <is>
          <t>What to calculate</t>
        </is>
      </c>
      <c r="D4" s="12" t="inlineStr">
        <is>
          <t>Your answer</t>
        </is>
      </c>
      <c r="E4" s="12" t="inlineStr">
        <is>
          <t>Hint</t>
        </is>
      </c>
    </row>
    <row r="5">
      <c r="A5" t="inlineStr">
        <is>
          <t>4.1</t>
        </is>
      </c>
      <c r="B5" t="inlineStr">
        <is>
          <t>NPV</t>
        </is>
      </c>
      <c r="C5" s="3" t="inlineStr">
        <is>
          <t>Net present value at the discount rate on Assumptions. Remember that Excel's NPV() treats its first value as one period away: add the year-0 cash flow outside the function.</t>
        </is>
      </c>
      <c r="D5" s="11" t="n"/>
      <c r="E5" s="3">
        <f>NPV(rate, years 1–5) + year 0</f>
        <v/>
      </c>
    </row>
    <row r="6">
      <c r="A6" t="inlineStr">
        <is>
          <t>4.2</t>
        </is>
      </c>
      <c r="B6" t="inlineStr">
        <is>
          <t>IRR</t>
        </is>
      </c>
      <c r="C6" s="3" t="inlineStr">
        <is>
          <t>Internal rate of return of the cash flows (years 0–5).</t>
        </is>
      </c>
      <c r="D6" s="13" t="n"/>
      <c r="E6" s="3" t="inlineStr"/>
    </row>
    <row r="7">
      <c r="A7" t="inlineStr">
        <is>
          <t>4.3</t>
        </is>
      </c>
      <c r="B7" t="inlineStr">
        <is>
          <t>Profitability index</t>
        </is>
      </c>
      <c r="C7" s="3" t="inlineStr">
        <is>
          <t>PV of years 1–5 ÷ initial investment.</t>
        </is>
      </c>
      <c r="D7" s="14" t="n"/>
      <c r="E7" s="3" t="inlineStr"/>
    </row>
    <row r="8">
      <c r="A8" t="inlineStr">
        <is>
          <t>4.4</t>
        </is>
      </c>
      <c r="B8" t="inlineStr">
        <is>
          <t>Payback year</t>
        </is>
      </c>
      <c r="C8" s="3" t="inlineStr">
        <is>
          <t>First year in which cumulative cash flow (row 6 of Cashflows) is zero or positive. Hint: COUNTIF the negative cumulative values.</t>
        </is>
      </c>
      <c r="D8" s="15" t="n"/>
      <c r="E8" s="3" t="inlineStr">
        <is>
          <t>Years 0..n are columns C..H.</t>
        </is>
      </c>
    </row>
    <row r="9">
      <c r="A9" t="inlineStr">
        <is>
          <t>4.5</t>
        </is>
      </c>
      <c r="B9" t="inlineStr">
        <is>
          <t>Payback (fractional years)</t>
        </is>
      </c>
      <c r="C9" s="3" t="inlineStr">
        <is>
          <t>Payback year − 1 + unrecovered amount at the start of the payback year ÷ that year's cash flow.</t>
        </is>
      </c>
      <c r="D9" s="16" t="n"/>
      <c r="E9" s="3" t="inlineStr"/>
    </row>
    <row r="10">
      <c r="A10" t="inlineStr">
        <is>
          <t>4.6</t>
        </is>
      </c>
      <c r="B10" t="inlineStr">
        <is>
          <t>Discounted payback (years)</t>
        </is>
      </c>
      <c r="C10" s="3" t="inlineStr">
        <is>
          <t>Same as 4.5 but using discounted cash flows (rows 7–8 of Cashflows).</t>
        </is>
      </c>
      <c r="D10" s="16" t="n"/>
      <c r="E10" s="3" t="inlineStr"/>
    </row>
    <row r="11">
      <c r="A11" t="inlineStr">
        <is>
          <t>4.7</t>
        </is>
      </c>
      <c r="B11" t="inlineStr">
        <is>
          <t>Annual loan payment</t>
        </is>
      </c>
      <c r="C11" s="3" t="inlineStr">
        <is>
          <t>Annual payment on the loan in Assumptions (PMT). Show it as a positive number.</t>
        </is>
      </c>
      <c r="D11" s="11" t="n"/>
      <c r="E11" s="3" t="inlineStr"/>
    </row>
    <row r="12">
      <c r="A12" t="inlineStr">
        <is>
          <t>4.8</t>
        </is>
      </c>
      <c r="B12" t="inlineStr">
        <is>
          <t>Decision</t>
        </is>
      </c>
      <c r="C12" s="3" t="inlineStr">
        <is>
          <t>"Accept" if NPV &gt; 0, otherwise "Reject".</t>
        </is>
      </c>
      <c r="D12" s="17" t="n"/>
      <c r="E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2026-10-17T23:35:11Z</dcterms:created>
  <dcterms:modified xmlns:dcterms="http://purl.org/dc/terms/" xmlns:xsi="http://www.w3.org/2001/XMLSchema-instance" xsi:type="dcterms:W3CDTF">2026-10-17T23:35:11Z</dcterms:modified>
</cp:coreProperties>
</file>